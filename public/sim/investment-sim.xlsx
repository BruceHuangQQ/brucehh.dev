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brucehh-portfolio\public\sim\"/>
    </mc:Choice>
  </mc:AlternateContent>
  <xr:revisionPtr revIDLastSave="0" documentId="8_{0D783520-F9C3-40CF-9E52-40370CEED895}" xr6:coauthVersionLast="47" xr6:coauthVersionMax="47" xr10:uidLastSave="{00000000-0000-0000-0000-000000000000}"/>
  <bookViews>
    <workbookView xWindow="-120" yWindow="-120" windowWidth="29040" windowHeight="17520" xr2:uid="{ACCD0231-C40B-40F1-B09E-2529FA95907F}"/>
  </bookViews>
  <sheets>
    <sheet name="Scenarios" sheetId="2" r:id="rId1"/>
    <sheet name="Check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" l="1"/>
  <c r="I21" i="1"/>
  <c r="K21" i="1" s="1"/>
  <c r="G21" i="1"/>
  <c r="J20" i="1"/>
  <c r="I20" i="1"/>
  <c r="K20" i="1" s="1"/>
  <c r="G20" i="1"/>
  <c r="J19" i="1"/>
  <c r="I19" i="1"/>
  <c r="K19" i="1" s="1"/>
  <c r="G19" i="1"/>
  <c r="J18" i="1"/>
  <c r="K18" i="1" s="1"/>
  <c r="I18" i="1"/>
  <c r="G18" i="1"/>
  <c r="J17" i="1"/>
  <c r="I17" i="1"/>
  <c r="K17" i="1" s="1"/>
  <c r="G17" i="1"/>
  <c r="H17" i="1" s="1"/>
  <c r="F18" i="1" s="1"/>
  <c r="H18" i="1" s="1"/>
  <c r="F19" i="1" s="1"/>
  <c r="H19" i="1" s="1"/>
  <c r="F20" i="1" s="1"/>
  <c r="H20" i="1" s="1"/>
  <c r="F21" i="1" s="1"/>
  <c r="H21" i="1" s="1"/>
  <c r="F17" i="1"/>
  <c r="J16" i="1"/>
  <c r="I16" i="1"/>
  <c r="K16" i="1" s="1"/>
  <c r="G16" i="1"/>
  <c r="J15" i="1"/>
  <c r="I15" i="1"/>
  <c r="K15" i="1" s="1"/>
  <c r="G15" i="1"/>
  <c r="J14" i="1"/>
  <c r="I14" i="1"/>
  <c r="K14" i="1" s="1"/>
  <c r="G14" i="1"/>
  <c r="J13" i="1"/>
  <c r="I13" i="1"/>
  <c r="K13" i="1" s="1"/>
  <c r="G13" i="1"/>
  <c r="K12" i="1"/>
  <c r="J12" i="1"/>
  <c r="I12" i="1"/>
  <c r="G12" i="1"/>
  <c r="F12" i="1"/>
  <c r="H12" i="1" s="1"/>
  <c r="F13" i="1" s="1"/>
  <c r="H13" i="1" s="1"/>
  <c r="F14" i="1" s="1"/>
  <c r="H14" i="1" s="1"/>
  <c r="F15" i="1" s="1"/>
  <c r="H15" i="1" s="1"/>
  <c r="F16" i="1" s="1"/>
  <c r="H16" i="1" s="1"/>
  <c r="J11" i="1"/>
  <c r="K11" i="1" s="1"/>
  <c r="I11" i="1"/>
  <c r="G11" i="1"/>
  <c r="J10" i="1"/>
  <c r="I10" i="1"/>
  <c r="K10" i="1" s="1"/>
  <c r="G10" i="1"/>
  <c r="J9" i="1"/>
  <c r="I9" i="1"/>
  <c r="K9" i="1" s="1"/>
  <c r="G9" i="1"/>
  <c r="K8" i="1"/>
  <c r="J8" i="1"/>
  <c r="I8" i="1"/>
  <c r="G8" i="1"/>
  <c r="J7" i="1"/>
  <c r="I7" i="1"/>
  <c r="K7" i="1" s="1"/>
  <c r="G7" i="1"/>
  <c r="F7" i="1"/>
  <c r="H7" i="1" s="1"/>
  <c r="F8" i="1" s="1"/>
  <c r="H8" i="1" s="1"/>
  <c r="F9" i="1" s="1"/>
  <c r="H9" i="1" s="1"/>
  <c r="F10" i="1" s="1"/>
  <c r="H10" i="1" s="1"/>
  <c r="F11" i="1" s="1"/>
  <c r="H11" i="1" s="1"/>
  <c r="J6" i="1"/>
  <c r="I6" i="1"/>
  <c r="K6" i="1" s="1"/>
  <c r="G6" i="1"/>
  <c r="J5" i="1"/>
  <c r="I5" i="1"/>
  <c r="K5" i="1" s="1"/>
  <c r="G5" i="1"/>
  <c r="K4" i="1"/>
  <c r="J4" i="1"/>
  <c r="I4" i="1"/>
  <c r="G4" i="1"/>
  <c r="J3" i="1"/>
  <c r="I3" i="1"/>
  <c r="K3" i="1" s="1"/>
  <c r="G3" i="1"/>
  <c r="J2" i="1"/>
  <c r="I2" i="1"/>
  <c r="K2" i="1" s="1"/>
  <c r="G2" i="1"/>
  <c r="F2" i="1"/>
  <c r="H2" i="1" s="1"/>
  <c r="F3" i="1" s="1"/>
  <c r="H3" i="1" s="1"/>
  <c r="F4" i="1" s="1"/>
  <c r="H4" i="1" s="1"/>
  <c r="F5" i="1" s="1"/>
  <c r="H5" i="1" s="1"/>
  <c r="F6" i="1" s="1"/>
  <c r="H6" i="1" s="1"/>
</calcChain>
</file>

<file path=xl/sharedStrings.xml><?xml version="1.0" encoding="utf-8"?>
<sst xmlns="http://schemas.openxmlformats.org/spreadsheetml/2006/main" count="42" uniqueCount="22">
  <si>
    <t>Round</t>
  </si>
  <si>
    <t>Event</t>
  </si>
  <si>
    <t>Cash %</t>
  </si>
  <si>
    <t>Bonds %</t>
  </si>
  <si>
    <t>Shares %</t>
  </si>
  <si>
    <t>A calm year</t>
  </si>
  <si>
    <t>Interest rates jump</t>
  </si>
  <si>
    <t>Market crash</t>
  </si>
  <si>
    <t>Recovery rally</t>
  </si>
  <si>
    <t>Inflation creeps in</t>
  </si>
  <si>
    <t>Starting balance</t>
  </si>
  <si>
    <t>Strategy</t>
  </si>
  <si>
    <t>Start</t>
  </si>
  <si>
    <t>Return %</t>
  </si>
  <si>
    <t>End</t>
  </si>
  <si>
    <t>Best %</t>
  </si>
  <si>
    <t>Worst %</t>
  </si>
  <si>
    <t>Score</t>
  </si>
  <si>
    <t>Balanced</t>
  </si>
  <si>
    <t>All shares</t>
  </si>
  <si>
    <t>All cash</t>
  </si>
  <si>
    <t>Switcher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</si>
</sst>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3">
    <font>
      <sz val="11"/>
      <color theme="1"/>
      <name val="微软雅黑"/>
      <family val="2"/>
      <charset val="136"/>
    </font>
    <font>
      <b/>
      <sz val="11"/>
      <color theme="1"/>
      <name val="微软雅黑"/>
    </font>
    <font>
      <sz val="9"/>
      <name val="微软雅黑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5BE8-86A1-40C9-8C34-8EB41FA110CD}">
  <dimension ref="A1:H6"/>
  <sheetViews>
    <sheetView tabSelected="1" workbookViewId="0"/>
  </sheetViews>
  <sheetFormatPr defaultRowHeight="16.5"/>
  <cols>
    <col min="1" max="1" width="7.109375" bestFit="1" customWidth="1"/>
    <col min="2" max="2" width="17.44140625" bestFit="1" customWidth="1"/>
    <col min="3" max="3" width="7.5546875" bestFit="1" customWidth="1"/>
    <col min="4" max="4" width="8.77734375" bestFit="1" customWidth="1"/>
    <col min="5" max="5" width="9.109375" bestFit="1" customWidth="1"/>
    <col min="7" max="7" width="15.6640625" bestFit="1" customWidth="1"/>
    <col min="8" max="8" width="6.554687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10</v>
      </c>
      <c r="H1" s="1">
        <v>10000</v>
      </c>
    </row>
    <row r="2" spans="1:8">
      <c r="A2">
        <v>1</v>
      </c>
      <c r="B2" t="s">
        <v>5</v>
      </c>
      <c r="C2">
        <v>2</v>
      </c>
      <c r="D2">
        <v>3.5</v>
      </c>
      <c r="E2">
        <v>9</v>
      </c>
    </row>
    <row r="3" spans="1:8">
      <c r="A3">
        <v>2</v>
      </c>
      <c r="B3" t="s">
        <v>6</v>
      </c>
      <c r="C3">
        <v>4</v>
      </c>
      <c r="D3">
        <v>-6</v>
      </c>
      <c r="E3">
        <v>-3</v>
      </c>
    </row>
    <row r="4" spans="1:8">
      <c r="A4">
        <v>3</v>
      </c>
      <c r="B4" t="s">
        <v>7</v>
      </c>
      <c r="C4">
        <v>3</v>
      </c>
      <c r="D4">
        <v>6</v>
      </c>
      <c r="E4">
        <v>-22</v>
      </c>
    </row>
    <row r="5" spans="1:8">
      <c r="A5">
        <v>4</v>
      </c>
      <c r="B5" t="s">
        <v>8</v>
      </c>
      <c r="C5">
        <v>1.5</v>
      </c>
      <c r="D5">
        <v>2</v>
      </c>
      <c r="E5">
        <v>26</v>
      </c>
    </row>
    <row r="6" spans="1:8">
      <c r="A6">
        <v>5</v>
      </c>
      <c r="B6" t="s">
        <v>9</v>
      </c>
      <c r="C6">
        <v>3</v>
      </c>
      <c r="D6">
        <v>-2</v>
      </c>
      <c r="E6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B7DF-9118-4289-B3E4-9FD3E6C9C3F5}">
  <dimension ref="A1:K21"/>
  <sheetViews>
    <sheetView workbookViewId="0"/>
  </sheetViews>
  <sheetFormatPr defaultRowHeight="16.5"/>
  <cols>
    <col min="1" max="1" width="9.21875" bestFit="1" customWidth="1"/>
    <col min="2" max="2" width="7.109375" bestFit="1" customWidth="1"/>
    <col min="3" max="3" width="7.5546875" bestFit="1" customWidth="1"/>
    <col min="4" max="4" width="8.77734375" bestFit="1" customWidth="1"/>
    <col min="5" max="5" width="9.109375" bestFit="1" customWidth="1"/>
    <col min="6" max="6" width="10.44140625" bestFit="1" customWidth="1"/>
    <col min="7" max="7" width="9.21875" bestFit="1" customWidth="1"/>
    <col min="8" max="8" width="10.44140625" bestFit="1" customWidth="1"/>
    <col min="9" max="9" width="7.109375" bestFit="1" customWidth="1"/>
    <col min="10" max="10" width="8.5546875" bestFit="1" customWidth="1"/>
    <col min="11" max="11" width="6.21875" bestFit="1" customWidth="1"/>
  </cols>
  <sheetData>
    <row r="1" spans="1:11" s="1" customFormat="1" ht="15">
      <c r="A1" s="1" t="s">
        <v>11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18</v>
      </c>
      <c r="B2">
        <v>1</v>
      </c>
      <c r="C2">
        <v>20</v>
      </c>
      <c r="D2">
        <v>30</v>
      </c>
      <c r="E2">
        <v>50</v>
      </c>
      <c r="F2" s="2">
        <f>Scenarios!$H$1</f>
        <v>10000</v>
      </c>
      <c r="G2">
        <f>(C2*INDEX(Scenarios!$C$2:$C$6,B2)+D2*INDEX(Scenarios!$D$2:$D$6,B2)+E2*INDEX(Scenarios!$E$2:$E$6,B2))/100</f>
        <v>5.95</v>
      </c>
      <c r="H2" s="2">
        <f>ROUND(F2*(1+G2/100),2)</f>
        <v>10595</v>
      </c>
      <c r="I2">
        <f>MAX(INDEX(Scenarios!$C$2:$E$6,B2,0))</f>
        <v>9</v>
      </c>
      <c r="J2">
        <f>MIN(INDEX(Scenarios!$C$2:$E$6,B2,0))</f>
        <v>2</v>
      </c>
      <c r="K2">
        <f>IF(I2=J2,100,ROUND(100*(G2-J2)/(I2-J2),0))</f>
        <v>56</v>
      </c>
    </row>
    <row r="3" spans="1:11">
      <c r="A3" t="s">
        <v>18</v>
      </c>
      <c r="B3">
        <v>2</v>
      </c>
      <c r="C3">
        <v>20</v>
      </c>
      <c r="D3">
        <v>30</v>
      </c>
      <c r="E3">
        <v>50</v>
      </c>
      <c r="F3" s="2">
        <f>H2</f>
        <v>10595</v>
      </c>
      <c r="G3">
        <f>(C3*INDEX(Scenarios!$C$2:$C$6,B3)+D3*INDEX(Scenarios!$D$2:$D$6,B3)+E3*INDEX(Scenarios!$E$2:$E$6,B3))/100</f>
        <v>-2.5</v>
      </c>
      <c r="H3" s="2">
        <f>ROUND(F3*(1+G3/100),2)</f>
        <v>10330.129999999999</v>
      </c>
      <c r="I3">
        <f>MAX(INDEX(Scenarios!$C$2:$E$6,B3,0))</f>
        <v>4</v>
      </c>
      <c r="J3">
        <f>MIN(INDEX(Scenarios!$C$2:$E$6,B3,0))</f>
        <v>-6</v>
      </c>
      <c r="K3">
        <f>IF(I3=J3,100,ROUND(100*(G3-J3)/(I3-J3),0))</f>
        <v>35</v>
      </c>
    </row>
    <row r="4" spans="1:11">
      <c r="A4" t="s">
        <v>18</v>
      </c>
      <c r="B4">
        <v>3</v>
      </c>
      <c r="C4">
        <v>20</v>
      </c>
      <c r="D4">
        <v>30</v>
      </c>
      <c r="E4">
        <v>50</v>
      </c>
      <c r="F4" s="2">
        <f>H3</f>
        <v>10330.129999999999</v>
      </c>
      <c r="G4">
        <f>(C4*INDEX(Scenarios!$C$2:$C$6,B4)+D4*INDEX(Scenarios!$D$2:$D$6,B4)+E4*INDEX(Scenarios!$E$2:$E$6,B4))/100</f>
        <v>-8.6</v>
      </c>
      <c r="H4" s="2">
        <f>ROUND(F4*(1+G4/100),2)</f>
        <v>9441.74</v>
      </c>
      <c r="I4">
        <f>MAX(INDEX(Scenarios!$C$2:$E$6,B4,0))</f>
        <v>6</v>
      </c>
      <c r="J4">
        <f>MIN(INDEX(Scenarios!$C$2:$E$6,B4,0))</f>
        <v>-22</v>
      </c>
      <c r="K4">
        <f>IF(I4=J4,100,ROUND(100*(G4-J4)/(I4-J4),0))</f>
        <v>48</v>
      </c>
    </row>
    <row r="5" spans="1:11">
      <c r="A5" t="s">
        <v>18</v>
      </c>
      <c r="B5">
        <v>4</v>
      </c>
      <c r="C5">
        <v>20</v>
      </c>
      <c r="D5">
        <v>30</v>
      </c>
      <c r="E5">
        <v>50</v>
      </c>
      <c r="F5" s="2">
        <f>H4</f>
        <v>9441.74</v>
      </c>
      <c r="G5">
        <f>(C5*INDEX(Scenarios!$C$2:$C$6,B5)+D5*INDEX(Scenarios!$D$2:$D$6,B5)+E5*INDEX(Scenarios!$E$2:$E$6,B5))/100</f>
        <v>13.9</v>
      </c>
      <c r="H5" s="2">
        <f>ROUND(F5*(1+G5/100),2)</f>
        <v>10754.14</v>
      </c>
      <c r="I5">
        <f>MAX(INDEX(Scenarios!$C$2:$E$6,B5,0))</f>
        <v>26</v>
      </c>
      <c r="J5">
        <f>MIN(INDEX(Scenarios!$C$2:$E$6,B5,0))</f>
        <v>1.5</v>
      </c>
      <c r="K5">
        <f>IF(I5=J5,100,ROUND(100*(G5-J5)/(I5-J5),0))</f>
        <v>51</v>
      </c>
    </row>
    <row r="6" spans="1:11">
      <c r="A6" t="s">
        <v>18</v>
      </c>
      <c r="B6">
        <v>5</v>
      </c>
      <c r="C6">
        <v>20</v>
      </c>
      <c r="D6">
        <v>30</v>
      </c>
      <c r="E6">
        <v>50</v>
      </c>
      <c r="F6" s="2">
        <f>H5</f>
        <v>10754.14</v>
      </c>
      <c r="G6">
        <f>(C6*INDEX(Scenarios!$C$2:$C$6,B6)+D6*INDEX(Scenarios!$D$2:$D$6,B6)+E6*INDEX(Scenarios!$E$2:$E$6,B6))/100</f>
        <v>2.5</v>
      </c>
      <c r="H6" s="2">
        <f>ROUND(F6*(1+G6/100),2)</f>
        <v>11022.99</v>
      </c>
      <c r="I6">
        <f>MAX(INDEX(Scenarios!$C$2:$E$6,B6,0))</f>
        <v>5</v>
      </c>
      <c r="J6">
        <f>MIN(INDEX(Scenarios!$C$2:$E$6,B6,0))</f>
        <v>-2</v>
      </c>
      <c r="K6">
        <f>IF(I6=J6,100,ROUND(100*(G6-J6)/(I6-J6),0))</f>
        <v>64</v>
      </c>
    </row>
    <row r="7" spans="1:11">
      <c r="A7" t="s">
        <v>19</v>
      </c>
      <c r="B7">
        <v>1</v>
      </c>
      <c r="C7">
        <v>0</v>
      </c>
      <c r="D7">
        <v>0</v>
      </c>
      <c r="E7">
        <v>100</v>
      </c>
      <c r="F7" s="2">
        <f>Scenarios!$H$1</f>
        <v>10000</v>
      </c>
      <c r="G7">
        <f>(C7*INDEX(Scenarios!$C$2:$C$6,B7)+D7*INDEX(Scenarios!$D$2:$D$6,B7)+E7*INDEX(Scenarios!$E$2:$E$6,B7))/100</f>
        <v>9</v>
      </c>
      <c r="H7" s="2">
        <f>ROUND(F7*(1+G7/100),2)</f>
        <v>10900</v>
      </c>
      <c r="I7">
        <f>MAX(INDEX(Scenarios!$C$2:$E$6,B7,0))</f>
        <v>9</v>
      </c>
      <c r="J7">
        <f>MIN(INDEX(Scenarios!$C$2:$E$6,B7,0))</f>
        <v>2</v>
      </c>
      <c r="K7">
        <f>IF(I7=J7,100,ROUND(100*(G7-J7)/(I7-J7),0))</f>
        <v>100</v>
      </c>
    </row>
    <row r="8" spans="1:11">
      <c r="A8" t="s">
        <v>19</v>
      </c>
      <c r="B8">
        <v>2</v>
      </c>
      <c r="C8">
        <v>0</v>
      </c>
      <c r="D8">
        <v>0</v>
      </c>
      <c r="E8">
        <v>100</v>
      </c>
      <c r="F8" s="2">
        <f>H7</f>
        <v>10900</v>
      </c>
      <c r="G8">
        <f>(C8*INDEX(Scenarios!$C$2:$C$6,B8)+D8*INDEX(Scenarios!$D$2:$D$6,B8)+E8*INDEX(Scenarios!$E$2:$E$6,B8))/100</f>
        <v>-3</v>
      </c>
      <c r="H8" s="2">
        <f>ROUND(F8*(1+G8/100),2)</f>
        <v>10573</v>
      </c>
      <c r="I8">
        <f>MAX(INDEX(Scenarios!$C$2:$E$6,B8,0))</f>
        <v>4</v>
      </c>
      <c r="J8">
        <f>MIN(INDEX(Scenarios!$C$2:$E$6,B8,0))</f>
        <v>-6</v>
      </c>
      <c r="K8">
        <f>IF(I8=J8,100,ROUND(100*(G8-J8)/(I8-J8),0))</f>
        <v>30</v>
      </c>
    </row>
    <row r="9" spans="1:11">
      <c r="A9" t="s">
        <v>19</v>
      </c>
      <c r="B9">
        <v>3</v>
      </c>
      <c r="C9">
        <v>0</v>
      </c>
      <c r="D9">
        <v>0</v>
      </c>
      <c r="E9">
        <v>100</v>
      </c>
      <c r="F9" s="2">
        <f>H8</f>
        <v>10573</v>
      </c>
      <c r="G9">
        <f>(C9*INDEX(Scenarios!$C$2:$C$6,B9)+D9*INDEX(Scenarios!$D$2:$D$6,B9)+E9*INDEX(Scenarios!$E$2:$E$6,B9))/100</f>
        <v>-22</v>
      </c>
      <c r="H9" s="2">
        <f>ROUND(F9*(1+G9/100),2)</f>
        <v>8246.94</v>
      </c>
      <c r="I9">
        <f>MAX(INDEX(Scenarios!$C$2:$E$6,B9,0))</f>
        <v>6</v>
      </c>
      <c r="J9">
        <f>MIN(INDEX(Scenarios!$C$2:$E$6,B9,0))</f>
        <v>-22</v>
      </c>
      <c r="K9">
        <f>IF(I9=J9,100,ROUND(100*(G9-J9)/(I9-J9),0))</f>
        <v>0</v>
      </c>
    </row>
    <row r="10" spans="1:11">
      <c r="A10" t="s">
        <v>19</v>
      </c>
      <c r="B10">
        <v>4</v>
      </c>
      <c r="C10">
        <v>0</v>
      </c>
      <c r="D10">
        <v>0</v>
      </c>
      <c r="E10">
        <v>100</v>
      </c>
      <c r="F10" s="2">
        <f>H9</f>
        <v>8246.94</v>
      </c>
      <c r="G10">
        <f>(C10*INDEX(Scenarios!$C$2:$C$6,B10)+D10*INDEX(Scenarios!$D$2:$D$6,B10)+E10*INDEX(Scenarios!$E$2:$E$6,B10))/100</f>
        <v>26</v>
      </c>
      <c r="H10" s="2">
        <f>ROUND(F10*(1+G10/100),2)</f>
        <v>10391.14</v>
      </c>
      <c r="I10">
        <f>MAX(INDEX(Scenarios!$C$2:$E$6,B10,0))</f>
        <v>26</v>
      </c>
      <c r="J10">
        <f>MIN(INDEX(Scenarios!$C$2:$E$6,B10,0))</f>
        <v>1.5</v>
      </c>
      <c r="K10">
        <f>IF(I10=J10,100,ROUND(100*(G10-J10)/(I10-J10),0))</f>
        <v>100</v>
      </c>
    </row>
    <row r="11" spans="1:11">
      <c r="A11" t="s">
        <v>19</v>
      </c>
      <c r="B11">
        <v>5</v>
      </c>
      <c r="C11">
        <v>0</v>
      </c>
      <c r="D11">
        <v>0</v>
      </c>
      <c r="E11">
        <v>100</v>
      </c>
      <c r="F11" s="2">
        <f>H10</f>
        <v>10391.14</v>
      </c>
      <c r="G11">
        <f>(C11*INDEX(Scenarios!$C$2:$C$6,B11)+D11*INDEX(Scenarios!$D$2:$D$6,B11)+E11*INDEX(Scenarios!$E$2:$E$6,B11))/100</f>
        <v>5</v>
      </c>
      <c r="H11" s="2">
        <f>ROUND(F11*(1+G11/100),2)</f>
        <v>10910.7</v>
      </c>
      <c r="I11">
        <f>MAX(INDEX(Scenarios!$C$2:$E$6,B11,0))</f>
        <v>5</v>
      </c>
      <c r="J11">
        <f>MIN(INDEX(Scenarios!$C$2:$E$6,B11,0))</f>
        <v>-2</v>
      </c>
      <c r="K11">
        <f>IF(I11=J11,100,ROUND(100*(G11-J11)/(I11-J11),0))</f>
        <v>100</v>
      </c>
    </row>
    <row r="12" spans="1:11">
      <c r="A12" t="s">
        <v>20</v>
      </c>
      <c r="B12">
        <v>1</v>
      </c>
      <c r="C12">
        <v>100</v>
      </c>
      <c r="D12">
        <v>0</v>
      </c>
      <c r="E12">
        <v>0</v>
      </c>
      <c r="F12" s="2">
        <f>Scenarios!$H$1</f>
        <v>10000</v>
      </c>
      <c r="G12">
        <f>(C12*INDEX(Scenarios!$C$2:$C$6,B12)+D12*INDEX(Scenarios!$D$2:$D$6,B12)+E12*INDEX(Scenarios!$E$2:$E$6,B12))/100</f>
        <v>2</v>
      </c>
      <c r="H12" s="2">
        <f>ROUND(F12*(1+G12/100),2)</f>
        <v>10200</v>
      </c>
      <c r="I12">
        <f>MAX(INDEX(Scenarios!$C$2:$E$6,B12,0))</f>
        <v>9</v>
      </c>
      <c r="J12">
        <f>MIN(INDEX(Scenarios!$C$2:$E$6,B12,0))</f>
        <v>2</v>
      </c>
      <c r="K12">
        <f>IF(I12=J12,100,ROUND(100*(G12-J12)/(I12-J12),0))</f>
        <v>0</v>
      </c>
    </row>
    <row r="13" spans="1:11">
      <c r="A13" t="s">
        <v>20</v>
      </c>
      <c r="B13">
        <v>2</v>
      </c>
      <c r="C13">
        <v>100</v>
      </c>
      <c r="D13">
        <v>0</v>
      </c>
      <c r="E13">
        <v>0</v>
      </c>
      <c r="F13" s="2">
        <f>H12</f>
        <v>10200</v>
      </c>
      <c r="G13">
        <f>(C13*INDEX(Scenarios!$C$2:$C$6,B13)+D13*INDEX(Scenarios!$D$2:$D$6,B13)+E13*INDEX(Scenarios!$E$2:$E$6,B13))/100</f>
        <v>4</v>
      </c>
      <c r="H13" s="2">
        <f>ROUND(F13*(1+G13/100),2)</f>
        <v>10608</v>
      </c>
      <c r="I13">
        <f>MAX(INDEX(Scenarios!$C$2:$E$6,B13,0))</f>
        <v>4</v>
      </c>
      <c r="J13">
        <f>MIN(INDEX(Scenarios!$C$2:$E$6,B13,0))</f>
        <v>-6</v>
      </c>
      <c r="K13">
        <f>IF(I13=J13,100,ROUND(100*(G13-J13)/(I13-J13),0))</f>
        <v>100</v>
      </c>
    </row>
    <row r="14" spans="1:11">
      <c r="A14" t="s">
        <v>20</v>
      </c>
      <c r="B14">
        <v>3</v>
      </c>
      <c r="C14">
        <v>100</v>
      </c>
      <c r="D14">
        <v>0</v>
      </c>
      <c r="E14">
        <v>0</v>
      </c>
      <c r="F14" s="2">
        <f>H13</f>
        <v>10608</v>
      </c>
      <c r="G14">
        <f>(C14*INDEX(Scenarios!$C$2:$C$6,B14)+D14*INDEX(Scenarios!$D$2:$D$6,B14)+E14*INDEX(Scenarios!$E$2:$E$6,B14))/100</f>
        <v>3</v>
      </c>
      <c r="H14" s="2">
        <f>ROUND(F14*(1+G14/100),2)</f>
        <v>10926.24</v>
      </c>
      <c r="I14">
        <f>MAX(INDEX(Scenarios!$C$2:$E$6,B14,0))</f>
        <v>6</v>
      </c>
      <c r="J14">
        <f>MIN(INDEX(Scenarios!$C$2:$E$6,B14,0))</f>
        <v>-22</v>
      </c>
      <c r="K14">
        <f>IF(I14=J14,100,ROUND(100*(G14-J14)/(I14-J14),0))</f>
        <v>89</v>
      </c>
    </row>
    <row r="15" spans="1:11">
      <c r="A15" t="s">
        <v>20</v>
      </c>
      <c r="B15">
        <v>4</v>
      </c>
      <c r="C15">
        <v>100</v>
      </c>
      <c r="D15">
        <v>0</v>
      </c>
      <c r="E15">
        <v>0</v>
      </c>
      <c r="F15" s="2">
        <f>H14</f>
        <v>10926.24</v>
      </c>
      <c r="G15">
        <f>(C15*INDEX(Scenarios!$C$2:$C$6,B15)+D15*INDEX(Scenarios!$D$2:$D$6,B15)+E15*INDEX(Scenarios!$E$2:$E$6,B15))/100</f>
        <v>1.5</v>
      </c>
      <c r="H15" s="2">
        <f>ROUND(F15*(1+G15/100),2)</f>
        <v>11090.13</v>
      </c>
      <c r="I15">
        <f>MAX(INDEX(Scenarios!$C$2:$E$6,B15,0))</f>
        <v>26</v>
      </c>
      <c r="J15">
        <f>MIN(INDEX(Scenarios!$C$2:$E$6,B15,0))</f>
        <v>1.5</v>
      </c>
      <c r="K15">
        <f>IF(I15=J15,100,ROUND(100*(G15-J15)/(I15-J15),0))</f>
        <v>0</v>
      </c>
    </row>
    <row r="16" spans="1:11">
      <c r="A16" t="s">
        <v>20</v>
      </c>
      <c r="B16">
        <v>5</v>
      </c>
      <c r="C16">
        <v>100</v>
      </c>
      <c r="D16">
        <v>0</v>
      </c>
      <c r="E16">
        <v>0</v>
      </c>
      <c r="F16" s="2">
        <f>H15</f>
        <v>11090.13</v>
      </c>
      <c r="G16">
        <f>(C16*INDEX(Scenarios!$C$2:$C$6,B16)+D16*INDEX(Scenarios!$D$2:$D$6,B16)+E16*INDEX(Scenarios!$E$2:$E$6,B16))/100</f>
        <v>3</v>
      </c>
      <c r="H16" s="2">
        <f>ROUND(F16*(1+G16/100),2)</f>
        <v>11422.83</v>
      </c>
      <c r="I16">
        <f>MAX(INDEX(Scenarios!$C$2:$E$6,B16,0))</f>
        <v>5</v>
      </c>
      <c r="J16">
        <f>MIN(INDEX(Scenarios!$C$2:$E$6,B16,0))</f>
        <v>-2</v>
      </c>
      <c r="K16">
        <f>IF(I16=J16,100,ROUND(100*(G16-J16)/(I16-J16),0))</f>
        <v>71</v>
      </c>
    </row>
    <row r="17" spans="1:11">
      <c r="A17" t="s">
        <v>21</v>
      </c>
      <c r="B17">
        <v>1</v>
      </c>
      <c r="C17">
        <v>10</v>
      </c>
      <c r="D17">
        <v>20</v>
      </c>
      <c r="E17">
        <v>70</v>
      </c>
      <c r="F17" s="2">
        <f>Scenarios!$H$1</f>
        <v>10000</v>
      </c>
      <c r="G17">
        <f>(C17*INDEX(Scenarios!$C$2:$C$6,B17)+D17*INDEX(Scenarios!$D$2:$D$6,B17)+E17*INDEX(Scenarios!$E$2:$E$6,B17))/100</f>
        <v>7.2</v>
      </c>
      <c r="H17" s="2">
        <f>ROUND(F17*(1+G17/100),2)</f>
        <v>10720</v>
      </c>
      <c r="I17">
        <f>MAX(INDEX(Scenarios!$C$2:$E$6,B17,0))</f>
        <v>9</v>
      </c>
      <c r="J17">
        <f>MIN(INDEX(Scenarios!$C$2:$E$6,B17,0))</f>
        <v>2</v>
      </c>
      <c r="K17">
        <f>IF(I17=J17,100,ROUND(100*(G17-J17)/(I17-J17),0))</f>
        <v>74</v>
      </c>
    </row>
    <row r="18" spans="1:11">
      <c r="A18" t="s">
        <v>21</v>
      </c>
      <c r="B18">
        <v>2</v>
      </c>
      <c r="C18">
        <v>70</v>
      </c>
      <c r="D18">
        <v>20</v>
      </c>
      <c r="E18">
        <v>10</v>
      </c>
      <c r="F18" s="2">
        <f>H17</f>
        <v>10720</v>
      </c>
      <c r="G18">
        <f>(C18*INDEX(Scenarios!$C$2:$C$6,B18)+D18*INDEX(Scenarios!$D$2:$D$6,B18)+E18*INDEX(Scenarios!$E$2:$E$6,B18))/100</f>
        <v>1.3</v>
      </c>
      <c r="H18" s="2">
        <f>ROUND(F18*(1+G18/100),2)</f>
        <v>10859.36</v>
      </c>
      <c r="I18">
        <f>MAX(INDEX(Scenarios!$C$2:$E$6,B18,0))</f>
        <v>4</v>
      </c>
      <c r="J18">
        <f>MIN(INDEX(Scenarios!$C$2:$E$6,B18,0))</f>
        <v>-6</v>
      </c>
      <c r="K18">
        <f>IF(I18=J18,100,ROUND(100*(G18-J18)/(I18-J18),0))</f>
        <v>73</v>
      </c>
    </row>
    <row r="19" spans="1:11">
      <c r="A19" t="s">
        <v>21</v>
      </c>
      <c r="B19">
        <v>3</v>
      </c>
      <c r="C19">
        <v>15</v>
      </c>
      <c r="D19">
        <v>70</v>
      </c>
      <c r="E19">
        <v>15</v>
      </c>
      <c r="F19" s="2">
        <f>H18</f>
        <v>10859.36</v>
      </c>
      <c r="G19">
        <f>(C19*INDEX(Scenarios!$C$2:$C$6,B19)+D19*INDEX(Scenarios!$D$2:$D$6,B19)+E19*INDEX(Scenarios!$E$2:$E$6,B19))/100</f>
        <v>1.35</v>
      </c>
      <c r="H19" s="2">
        <f>ROUND(F19*(1+G19/100),2)</f>
        <v>11005.96</v>
      </c>
      <c r="I19">
        <f>MAX(INDEX(Scenarios!$C$2:$E$6,B19,0))</f>
        <v>6</v>
      </c>
      <c r="J19">
        <f>MIN(INDEX(Scenarios!$C$2:$E$6,B19,0))</f>
        <v>-22</v>
      </c>
      <c r="K19">
        <f>IF(I19=J19,100,ROUND(100*(G19-J19)/(I19-J19),0))</f>
        <v>83</v>
      </c>
    </row>
    <row r="20" spans="1:11">
      <c r="A20" t="s">
        <v>21</v>
      </c>
      <c r="B20">
        <v>4</v>
      </c>
      <c r="C20">
        <v>0</v>
      </c>
      <c r="D20">
        <v>5</v>
      </c>
      <c r="E20">
        <v>95</v>
      </c>
      <c r="F20" s="2">
        <f>H19</f>
        <v>11005.96</v>
      </c>
      <c r="G20">
        <f>(C20*INDEX(Scenarios!$C$2:$C$6,B20)+D20*INDEX(Scenarios!$D$2:$D$6,B20)+E20*INDEX(Scenarios!$E$2:$E$6,B20))/100</f>
        <v>24.8</v>
      </c>
      <c r="H20" s="2">
        <f>ROUND(F20*(1+G20/100),2)</f>
        <v>13735.44</v>
      </c>
      <c r="I20">
        <f>MAX(INDEX(Scenarios!$C$2:$E$6,B20,0))</f>
        <v>26</v>
      </c>
      <c r="J20">
        <f>MIN(INDEX(Scenarios!$C$2:$E$6,B20,0))</f>
        <v>1.5</v>
      </c>
      <c r="K20">
        <f>IF(I20=J20,100,ROUND(100*(G20-J20)/(I20-J20),0))</f>
        <v>95</v>
      </c>
    </row>
    <row r="21" spans="1:11">
      <c r="A21" t="s">
        <v>21</v>
      </c>
      <c r="B21">
        <v>5</v>
      </c>
      <c r="C21">
        <v>45</v>
      </c>
      <c r="D21">
        <v>10</v>
      </c>
      <c r="E21">
        <v>45</v>
      </c>
      <c r="F21" s="2">
        <f>H20</f>
        <v>13735.44</v>
      </c>
      <c r="G21">
        <f>(C21*INDEX(Scenarios!$C$2:$C$6,B21)+D21*INDEX(Scenarios!$D$2:$D$6,B21)+E21*INDEX(Scenarios!$E$2:$E$6,B21))/100</f>
        <v>3.4</v>
      </c>
      <c r="H21" s="2">
        <f>ROUND(F21*(1+G21/100),2)</f>
        <v>14202.44</v>
      </c>
      <c r="I21">
        <f>MAX(INDEX(Scenarios!$C$2:$E$6,B21,0))</f>
        <v>5</v>
      </c>
      <c r="J21">
        <f>MIN(INDEX(Scenarios!$C$2:$E$6,B21,0))</f>
        <v>-2</v>
      </c>
      <c r="K21">
        <f>IF(I21=J21,100,ROUND(100*(G21-J21)/(I21-J21),0))</f>
        <v>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HAOQIAN HUANG</dc:creator>
  <cp:lastModifiedBy>HAOQIAN HUANG</cp:lastModifiedBy>
  <dcterms:created xsi:type="dcterms:W3CDTF">2026-10-19T09:05:43Z</dcterms:created>
  <dcterms:modified xsi:type="dcterms:W3CDTF">2026-10-19T09:05:45Z</dcterms:modified>
</cp:coreProperties>
</file>